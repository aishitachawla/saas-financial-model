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Model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Price_per_user</t>
        </is>
      </c>
      <c r="B1" t="n">
        <v>1000</v>
      </c>
    </row>
    <row r="2">
      <c r="A2" t="inlineStr">
        <is>
          <t>Starting_users</t>
        </is>
      </c>
      <c r="B2" t="n">
        <v>50</v>
      </c>
    </row>
    <row r="3">
      <c r="A3" t="inlineStr">
        <is>
          <t>Growth_rate</t>
        </is>
      </c>
      <c r="B3" t="n">
        <v>0.1</v>
      </c>
    </row>
    <row r="4">
      <c r="A4" t="inlineStr">
        <is>
          <t>Churn_rate</t>
        </is>
      </c>
      <c r="B4" t="n">
        <v>0.05</v>
      </c>
    </row>
    <row r="5">
      <c r="A5" t="inlineStr">
        <is>
          <t>Variable_cost_pct</t>
        </is>
      </c>
      <c r="B5" t="n">
        <v>0.3</v>
      </c>
    </row>
    <row r="6">
      <c r="A6" t="inlineStr">
        <is>
          <t>Fixed_cost</t>
        </is>
      </c>
      <c r="B6" t="n">
        <v>50000</v>
      </c>
    </row>
    <row r="7">
      <c r="A7" t="inlineStr">
        <is>
          <t>Starting_cash</t>
        </is>
      </c>
      <c r="B7" t="n">
        <v>300000</v>
      </c>
    </row>
    <row r="8">
      <c r="A8" t="inlineStr">
        <is>
          <t>CAC</t>
        </is>
      </c>
      <c r="B8" t="n">
        <v>500</v>
      </c>
    </row>
    <row r="9">
      <c r="A9" t="inlineStr">
        <is>
          <t>Lifetime_months</t>
        </is>
      </c>
      <c r="B9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M13</t>
        </is>
      </c>
      <c r="O1" t="inlineStr">
        <is>
          <t>M14</t>
        </is>
      </c>
      <c r="P1" t="inlineStr">
        <is>
          <t>M15</t>
        </is>
      </c>
      <c r="Q1" t="inlineStr">
        <is>
          <t>M16</t>
        </is>
      </c>
      <c r="R1" t="inlineStr">
        <is>
          <t>M17</t>
        </is>
      </c>
      <c r="S1" t="inlineStr">
        <is>
          <t>M18</t>
        </is>
      </c>
      <c r="T1" t="inlineStr">
        <is>
          <t>M19</t>
        </is>
      </c>
      <c r="U1" t="inlineStr">
        <is>
          <t>M20</t>
        </is>
      </c>
      <c r="V1" t="inlineStr">
        <is>
          <t>M21</t>
        </is>
      </c>
      <c r="W1" t="inlineStr">
        <is>
          <t>M22</t>
        </is>
      </c>
      <c r="X1" t="inlineStr">
        <is>
          <t>M23</t>
        </is>
      </c>
      <c r="Y1" t="inlineStr">
        <is>
          <t>M24</t>
        </is>
      </c>
      <c r="Z1" t="inlineStr">
        <is>
          <t>M25</t>
        </is>
      </c>
      <c r="AA1" t="inlineStr">
        <is>
          <t>M26</t>
        </is>
      </c>
      <c r="AB1" t="inlineStr">
        <is>
          <t>M27</t>
        </is>
      </c>
      <c r="AC1" t="inlineStr">
        <is>
          <t>M28</t>
        </is>
      </c>
      <c r="AD1" t="inlineStr">
        <is>
          <t>M29</t>
        </is>
      </c>
      <c r="AE1" t="inlineStr">
        <is>
          <t>M30</t>
        </is>
      </c>
      <c r="AF1" t="inlineStr">
        <is>
          <t>M31</t>
        </is>
      </c>
      <c r="AG1" t="inlineStr">
        <is>
          <t>M32</t>
        </is>
      </c>
      <c r="AH1" t="inlineStr">
        <is>
          <t>M33</t>
        </is>
      </c>
      <c r="AI1" t="inlineStr">
        <is>
          <t>M34</t>
        </is>
      </c>
      <c r="AJ1" t="inlineStr">
        <is>
          <t>M35</t>
        </is>
      </c>
      <c r="AK1" t="inlineStr">
        <is>
          <t>M36</t>
        </is>
      </c>
    </row>
    <row r="2">
      <c r="A2" t="inlineStr">
        <is>
          <t>Users</t>
        </is>
      </c>
      <c r="B2">
        <f>Inputs!B2</f>
        <v/>
      </c>
      <c r="C2">
        <f>B2*(1+Inputs!B3-Inputs!B4)</f>
        <v/>
      </c>
      <c r="D2">
        <f>C2*(1+Inputs!B3-Inputs!B4)</f>
        <v/>
      </c>
      <c r="E2">
        <f>D2*(1+Inputs!B3-Inputs!B4)</f>
        <v/>
      </c>
      <c r="F2">
        <f>E2*(1+Inputs!B3-Inputs!B4)</f>
        <v/>
      </c>
      <c r="G2">
        <f>F2*(1+Inputs!B3-Inputs!B4)</f>
        <v/>
      </c>
      <c r="H2">
        <f>G2*(1+Inputs!B3-Inputs!B4)</f>
        <v/>
      </c>
      <c r="I2">
        <f>H2*(1+Inputs!B3-Inputs!B4)</f>
        <v/>
      </c>
      <c r="J2">
        <f>I2*(1+Inputs!B3-Inputs!B4)</f>
        <v/>
      </c>
      <c r="K2">
        <f>J2*(1+Inputs!B3-Inputs!B4)</f>
        <v/>
      </c>
      <c r="L2">
        <f>K2*(1+Inputs!B3-Inputs!B4)</f>
        <v/>
      </c>
      <c r="M2">
        <f>L2*(1+Inputs!B3-Inputs!B4)</f>
        <v/>
      </c>
      <c r="N2">
        <f>M2*(1+Inputs!B3-Inputs!B4)</f>
        <v/>
      </c>
      <c r="O2">
        <f>N2*(1+Inputs!B3-Inputs!B4)</f>
        <v/>
      </c>
      <c r="P2">
        <f>O2*(1+Inputs!B3-Inputs!B4)</f>
        <v/>
      </c>
      <c r="Q2">
        <f>P2*(1+Inputs!B3-Inputs!B4)</f>
        <v/>
      </c>
      <c r="R2">
        <f>Q2*(1+Inputs!B3-Inputs!B4)</f>
        <v/>
      </c>
      <c r="S2">
        <f>R2*(1+Inputs!B3-Inputs!B4)</f>
        <v/>
      </c>
      <c r="T2">
        <f>S2*(1+Inputs!B3-Inputs!B4)</f>
        <v/>
      </c>
      <c r="U2">
        <f>T2*(1+Inputs!B3-Inputs!B4)</f>
        <v/>
      </c>
      <c r="V2">
        <f>U2*(1+Inputs!B3-Inputs!B4)</f>
        <v/>
      </c>
      <c r="W2">
        <f>V2*(1+Inputs!B3-Inputs!B4)</f>
        <v/>
      </c>
      <c r="X2">
        <f>W2*(1+Inputs!B3-Inputs!B4)</f>
        <v/>
      </c>
      <c r="Y2">
        <f>X2*(1+Inputs!B3-Inputs!B4)</f>
        <v/>
      </c>
      <c r="Z2">
        <f>Y2*(1+Inputs!B3-Inputs!B4)</f>
        <v/>
      </c>
      <c r="AA2">
        <f>Z2*(1+Inputs!B3-Inputs!B4)</f>
        <v/>
      </c>
      <c r="AB2">
        <f>[2*(1+Inputs!B3-Inputs!B4)</f>
        <v/>
      </c>
      <c r="AC2">
        <f>\2*(1+Inputs!B3-Inputs!B4)</f>
        <v/>
      </c>
      <c r="AD2">
        <f>]2*(1+Inputs!B3-Inputs!B4)</f>
        <v/>
      </c>
      <c r="AE2">
        <f>^2*(1+Inputs!B3-Inputs!B4)</f>
        <v/>
      </c>
      <c r="AF2">
        <f>_2*(1+Inputs!B3-Inputs!B4)</f>
        <v/>
      </c>
      <c r="AG2">
        <f>`2*(1+Inputs!B3-Inputs!B4)</f>
        <v/>
      </c>
      <c r="AH2">
        <f>a2*(1+Inputs!B3-Inputs!B4)</f>
        <v/>
      </c>
      <c r="AI2">
        <f>b2*(1+Inputs!B3-Inputs!B4)</f>
        <v/>
      </c>
      <c r="AJ2">
        <f>c2*(1+Inputs!B3-Inputs!B4)</f>
        <v/>
      </c>
      <c r="AK2">
        <f>d2*(1+Inputs!B3-Inputs!B4)</f>
        <v/>
      </c>
    </row>
    <row r="3">
      <c r="A3" t="inlineStr">
        <is>
          <t>Revenue</t>
        </is>
      </c>
      <c r="B3">
        <f>B2*Inputs!B1</f>
        <v/>
      </c>
      <c r="C3">
        <f>C2*Inputs!B1</f>
        <v/>
      </c>
      <c r="D3">
        <f>D2*Inputs!B1</f>
        <v/>
      </c>
      <c r="E3">
        <f>E2*Inputs!B1</f>
        <v/>
      </c>
      <c r="F3">
        <f>F2*Inputs!B1</f>
        <v/>
      </c>
      <c r="G3">
        <f>G2*Inputs!B1</f>
        <v/>
      </c>
      <c r="H3">
        <f>H2*Inputs!B1</f>
        <v/>
      </c>
      <c r="I3">
        <f>I2*Inputs!B1</f>
        <v/>
      </c>
      <c r="J3">
        <f>J2*Inputs!B1</f>
        <v/>
      </c>
      <c r="K3">
        <f>K2*Inputs!B1</f>
        <v/>
      </c>
      <c r="L3">
        <f>L2*Inputs!B1</f>
        <v/>
      </c>
      <c r="M3">
        <f>M2*Inputs!B1</f>
        <v/>
      </c>
      <c r="N3">
        <f>N2*Inputs!B1</f>
        <v/>
      </c>
      <c r="O3">
        <f>O2*Inputs!B1</f>
        <v/>
      </c>
      <c r="P3">
        <f>P2*Inputs!B1</f>
        <v/>
      </c>
      <c r="Q3">
        <f>Q2*Inputs!B1</f>
        <v/>
      </c>
      <c r="R3">
        <f>R2*Inputs!B1</f>
        <v/>
      </c>
      <c r="S3">
        <f>S2*Inputs!B1</f>
        <v/>
      </c>
      <c r="T3">
        <f>T2*Inputs!B1</f>
        <v/>
      </c>
      <c r="U3">
        <f>U2*Inputs!B1</f>
        <v/>
      </c>
      <c r="V3">
        <f>V2*Inputs!B1</f>
        <v/>
      </c>
      <c r="W3">
        <f>W2*Inputs!B1</f>
        <v/>
      </c>
      <c r="X3">
        <f>X2*Inputs!B1</f>
        <v/>
      </c>
      <c r="Y3">
        <f>Y2*Inputs!B1</f>
        <v/>
      </c>
      <c r="Z3">
        <f>Z2*Inputs!B1</f>
        <v/>
      </c>
      <c r="AA3">
        <f>[2*Inputs!B1</f>
        <v/>
      </c>
      <c r="AB3">
        <f>\2*Inputs!B1</f>
        <v/>
      </c>
      <c r="AC3">
        <f>]2*Inputs!B1</f>
        <v/>
      </c>
      <c r="AD3">
        <f>^2*Inputs!B1</f>
        <v/>
      </c>
      <c r="AE3">
        <f>_2*Inputs!B1</f>
        <v/>
      </c>
      <c r="AF3">
        <f>`2*Inputs!B1</f>
        <v/>
      </c>
      <c r="AG3">
        <f>a2*Inputs!B1</f>
        <v/>
      </c>
      <c r="AH3">
        <f>b2*Inputs!B1</f>
        <v/>
      </c>
      <c r="AI3">
        <f>c2*Inputs!B1</f>
        <v/>
      </c>
      <c r="AJ3">
        <f>d2*Inputs!B1</f>
        <v/>
      </c>
      <c r="AK3">
        <f>e2*Inputs!B1</f>
        <v/>
      </c>
    </row>
    <row r="4">
      <c r="A4" t="inlineStr">
        <is>
          <t>Cost</t>
        </is>
      </c>
      <c r="B4">
        <f>B3*Inputs!B5+Inputs!B6</f>
        <v/>
      </c>
      <c r="C4">
        <f>C3*Inputs!B5+Inputs!B6</f>
        <v/>
      </c>
      <c r="D4">
        <f>D3*Inputs!B5+Inputs!B6</f>
        <v/>
      </c>
      <c r="E4">
        <f>E3*Inputs!B5+Inputs!B6</f>
        <v/>
      </c>
      <c r="F4">
        <f>F3*Inputs!B5+Inputs!B6</f>
        <v/>
      </c>
      <c r="G4">
        <f>G3*Inputs!B5+Inputs!B6</f>
        <v/>
      </c>
      <c r="H4">
        <f>H3*Inputs!B5+Inputs!B6</f>
        <v/>
      </c>
      <c r="I4">
        <f>I3*Inputs!B5+Inputs!B6</f>
        <v/>
      </c>
      <c r="J4">
        <f>J3*Inputs!B5+Inputs!B6</f>
        <v/>
      </c>
      <c r="K4">
        <f>K3*Inputs!B5+Inputs!B6</f>
        <v/>
      </c>
      <c r="L4">
        <f>L3*Inputs!B5+Inputs!B6</f>
        <v/>
      </c>
      <c r="M4">
        <f>M3*Inputs!B5+Inputs!B6</f>
        <v/>
      </c>
      <c r="N4">
        <f>N3*Inputs!B5+Inputs!B6</f>
        <v/>
      </c>
      <c r="O4">
        <f>O3*Inputs!B5+Inputs!B6</f>
        <v/>
      </c>
      <c r="P4">
        <f>P3*Inputs!B5+Inputs!B6</f>
        <v/>
      </c>
      <c r="Q4">
        <f>Q3*Inputs!B5+Inputs!B6</f>
        <v/>
      </c>
      <c r="R4">
        <f>R3*Inputs!B5+Inputs!B6</f>
        <v/>
      </c>
      <c r="S4">
        <f>S3*Inputs!B5+Inputs!B6</f>
        <v/>
      </c>
      <c r="T4">
        <f>T3*Inputs!B5+Inputs!B6</f>
        <v/>
      </c>
      <c r="U4">
        <f>U3*Inputs!B5+Inputs!B6</f>
        <v/>
      </c>
      <c r="V4">
        <f>V3*Inputs!B5+Inputs!B6</f>
        <v/>
      </c>
      <c r="W4">
        <f>W3*Inputs!B5+Inputs!B6</f>
        <v/>
      </c>
      <c r="X4">
        <f>X3*Inputs!B5+Inputs!B6</f>
        <v/>
      </c>
      <c r="Y4">
        <f>Y3*Inputs!B5+Inputs!B6</f>
        <v/>
      </c>
      <c r="Z4">
        <f>Z3*Inputs!B5+Inputs!B6</f>
        <v/>
      </c>
      <c r="AA4">
        <f>[3*Inputs!B5+Inputs!B6</f>
        <v/>
      </c>
      <c r="AB4">
        <f>\3*Inputs!B5+Inputs!B6</f>
        <v/>
      </c>
      <c r="AC4">
        <f>]3*Inputs!B5+Inputs!B6</f>
        <v/>
      </c>
      <c r="AD4">
        <f>^3*Inputs!B5+Inputs!B6</f>
        <v/>
      </c>
      <c r="AE4">
        <f>_3*Inputs!B5+Inputs!B6</f>
        <v/>
      </c>
      <c r="AF4">
        <f>`3*Inputs!B5+Inputs!B6</f>
        <v/>
      </c>
      <c r="AG4">
        <f>a3*Inputs!B5+Inputs!B6</f>
        <v/>
      </c>
      <c r="AH4">
        <f>b3*Inputs!B5+Inputs!B6</f>
        <v/>
      </c>
      <c r="AI4">
        <f>c3*Inputs!B5+Inputs!B6</f>
        <v/>
      </c>
      <c r="AJ4">
        <f>d3*Inputs!B5+Inputs!B6</f>
        <v/>
      </c>
      <c r="AK4">
        <f>e3*Inputs!B5+Inputs!B6</f>
        <v/>
      </c>
    </row>
    <row r="5">
      <c r="A5" t="inlineStr">
        <is>
          <t>Profit</t>
        </is>
      </c>
      <c r="B5">
        <f>B3-B4</f>
        <v/>
      </c>
      <c r="C5">
        <f>C3-C4</f>
        <v/>
      </c>
      <c r="D5">
        <f>D3-D4</f>
        <v/>
      </c>
      <c r="E5">
        <f>E3-E4</f>
        <v/>
      </c>
      <c r="F5">
        <f>F3-F4</f>
        <v/>
      </c>
      <c r="G5">
        <f>G3-G4</f>
        <v/>
      </c>
      <c r="H5">
        <f>H3-H4</f>
        <v/>
      </c>
      <c r="I5">
        <f>I3-I4</f>
        <v/>
      </c>
      <c r="J5">
        <f>J3-J4</f>
        <v/>
      </c>
      <c r="K5">
        <f>K3-K4</f>
        <v/>
      </c>
      <c r="L5">
        <f>L3-L4</f>
        <v/>
      </c>
      <c r="M5">
        <f>M3-M4</f>
        <v/>
      </c>
      <c r="N5">
        <f>N3-N4</f>
        <v/>
      </c>
      <c r="O5">
        <f>O3-O4</f>
        <v/>
      </c>
      <c r="P5">
        <f>P3-P4</f>
        <v/>
      </c>
      <c r="Q5">
        <f>Q3-Q4</f>
        <v/>
      </c>
      <c r="R5">
        <f>R3-R4</f>
        <v/>
      </c>
      <c r="S5">
        <f>S3-S4</f>
        <v/>
      </c>
      <c r="T5">
        <f>T3-T4</f>
        <v/>
      </c>
      <c r="U5">
        <f>U3-U4</f>
        <v/>
      </c>
      <c r="V5">
        <f>V3-V4</f>
        <v/>
      </c>
      <c r="W5">
        <f>W3-W4</f>
        <v/>
      </c>
      <c r="X5">
        <f>X3-X4</f>
        <v/>
      </c>
      <c r="Y5">
        <f>Y3-Y4</f>
        <v/>
      </c>
      <c r="Z5">
        <f>Z3-Z4</f>
        <v/>
      </c>
      <c r="AA5">
        <f>[3-[4</f>
        <v/>
      </c>
      <c r="AB5">
        <f>\3-\4</f>
        <v/>
      </c>
      <c r="AC5">
        <f>]3-]4</f>
        <v/>
      </c>
      <c r="AD5">
        <f>^3-^4</f>
        <v/>
      </c>
      <c r="AE5">
        <f>_3-_4</f>
        <v/>
      </c>
      <c r="AF5">
        <f>`3-`4</f>
        <v/>
      </c>
      <c r="AG5">
        <f>a3-a4</f>
        <v/>
      </c>
      <c r="AH5">
        <f>b3-b4</f>
        <v/>
      </c>
      <c r="AI5">
        <f>c3-c4</f>
        <v/>
      </c>
      <c r="AJ5">
        <f>d3-d4</f>
        <v/>
      </c>
      <c r="AK5">
        <f>e3-e4</f>
        <v/>
      </c>
    </row>
    <row r="6">
      <c r="A6" t="inlineStr">
        <is>
          <t>Cash</t>
        </is>
      </c>
      <c r="B6">
        <f>Inputs!B7 + B5</f>
        <v/>
      </c>
      <c r="C6">
        <f>B6+C5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  <c r="W6">
        <f>V6+W5</f>
        <v/>
      </c>
      <c r="X6">
        <f>W6+X5</f>
        <v/>
      </c>
      <c r="Y6">
        <f>X6+Y5</f>
        <v/>
      </c>
      <c r="Z6">
        <f>Y6+Z5</f>
        <v/>
      </c>
      <c r="AA6">
        <f>Z6+[5</f>
        <v/>
      </c>
      <c r="AB6">
        <f>[6+\5</f>
        <v/>
      </c>
      <c r="AC6">
        <f>\6+]5</f>
        <v/>
      </c>
      <c r="AD6">
        <f>]6+^5</f>
        <v/>
      </c>
      <c r="AE6">
        <f>^6+_5</f>
        <v/>
      </c>
      <c r="AF6">
        <f>_6+`5</f>
        <v/>
      </c>
      <c r="AG6">
        <f>`6+a5</f>
        <v/>
      </c>
      <c r="AH6">
        <f>a6+b5</f>
        <v/>
      </c>
      <c r="AI6">
        <f>b6+c5</f>
        <v/>
      </c>
      <c r="AJ6">
        <f>c6+d5</f>
        <v/>
      </c>
      <c r="AK6">
        <f>d6+e5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</t>
        </is>
      </c>
    </row>
    <row r="3">
      <c r="A3" t="inlineStr">
        <is>
          <t>Total Revenue</t>
        </is>
      </c>
      <c r="B3">
        <f>SUM(Model!B3:AK3)</f>
        <v/>
      </c>
    </row>
    <row r="4">
      <c r="A4" t="inlineStr">
        <is>
          <t>Total Profit</t>
        </is>
      </c>
      <c r="B4">
        <f>SUM(Model!B5:AK5)</f>
        <v/>
      </c>
    </row>
    <row r="5">
      <c r="A5" t="inlineStr">
        <is>
          <t>Final Cash</t>
        </is>
      </c>
      <c r="B5">
        <f>Model!AK6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2026-04-24T09:57:25Z</dcterms:created>
  <dcterms:modified xmlns:dcterms="http://purl.org/dc/terms/" xmlns:xsi="http://www.w3.org/2001/XMLSchema-instance" xsi:type="dcterms:W3CDTF">2026-04-24T09:57:25Z</dcterms:modified>
</cp:coreProperties>
</file>